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triz contractual" sheetId="1" state="visible" r:id="rId1"/>
    <sheet xmlns:r="http://schemas.openxmlformats.org/officeDocument/2006/relationships" name="Cierre administrativ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2">
    <font>
      <name val="Carlito"/>
      <sz val="11"/>
    </font>
    <font>
      <name val="Carlito"/>
      <sz val="9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Arial"/>
      <family val="2"/>
      <b val="1"/>
      <color rgb="FFFFFFFF"/>
      <sz val="12"/>
    </font>
    <font>
      <name val="Arial"/>
      <family val="2"/>
      <sz val="12"/>
    </font>
    <font>
      <name val="Arial"/>
      <family val="2"/>
      <b val="1"/>
      <color rgb="FF275D38"/>
      <sz val="12"/>
    </font>
    <font>
      <name val="Arial"/>
      <family val="2"/>
      <i val="1"/>
      <color rgb="FF666666"/>
      <sz val="12"/>
    </font>
    <font>
      <name val="Arial"/>
      <family val="2"/>
      <color theme="1"/>
      <sz val="12"/>
    </font>
    <font>
      <name val="Arial"/>
      <family val="2"/>
      <b val="1"/>
      <sz val="12"/>
    </font>
    <font>
      <name val="Arial"/>
      <family val="2"/>
      <b val="1"/>
      <color theme="1"/>
      <sz val="12"/>
    </font>
    <font>
      <name val="Carlito"/>
      <color theme="1"/>
      <sz val="11"/>
    </font>
  </fonts>
  <fills count="7">
    <fill>
      <patternFill/>
    </fill>
    <fill>
      <patternFill patternType="gray125"/>
    </fill>
    <fill>
      <patternFill patternType="solid">
        <fgColor rgb="FF275D38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9" fontId="5" fillId="0" borderId="0" applyAlignment="1" pivotButton="0" quotePrefix="0" xfId="0">
      <alignment wrapText="1"/>
    </xf>
    <xf numFmtId="0" fontId="7" fillId="5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11" fillId="6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3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theme="0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NGEL_MATEUSTable" displayName="ANGEL_MATEUSTable" ref="A8:J47" headerRowCount="1" headerRowDxfId="0" dataDxfId="1" totalsRowDxfId="2">
  <tableColumns count="10">
    <tableColumn id="1" name="No." dataDxfId="12"/>
    <tableColumn id="2" name="Fase / componente" dataDxfId="11"/>
    <tableColumn id="3" name="Obligación o entregable" dataDxfId="10"/>
    <tableColumn id="4" name="Resultado esperado / criterio" dataDxfId="9"/>
    <tableColumn id="5" name="Actividades realizadas" dataDxfId="8"/>
    <tableColumn id="6" name="Producto o evidencia" dataDxfId="7"/>
    <tableColumn id="7" name="Enlace / anexo" dataDxfId="6"/>
    <tableColumn id="8" name="Estado" dataDxfId="5"/>
    <tableColumn id="9" name="% avance" dataDxfId="4"/>
    <tableColumn id="10" name="Observaciones / validació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GEL_MATEUSCloseTable" displayName="ANGEL_MATEUSCloseTable" ref="A3:F14" headerRowCount="1">
  <tableColumns count="6">
    <tableColumn id="1" name="No."/>
    <tableColumn id="2" name="Requisito de cierre"/>
    <tableColumn id="3" name="Detalle / aplicabilidad"/>
    <tableColumn id="4" name="Estado"/>
    <tableColumn id="5" name="Evidencia / enlace"/>
    <tableColumn id="6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tabSelected="1" zoomScale="80" zoomScaleNormal="80" workbookViewId="0">
      <selection activeCell="E9" sqref="E9"/>
    </sheetView>
  </sheetViews>
  <sheetFormatPr baseColWidth="10" defaultColWidth="8.83203125" defaultRowHeight="15.5"/>
  <cols>
    <col width="11.83203125" customWidth="1" style="3" min="1" max="1"/>
    <col width="23" customWidth="1" style="3" min="2" max="2"/>
    <col width="58" customWidth="1" style="3" min="3" max="3"/>
    <col width="34" customWidth="1" style="3" min="4" max="5"/>
    <col width="31" customWidth="1" style="3" min="6" max="6"/>
    <col width="27" customWidth="1" style="3" min="7" max="7"/>
    <col width="16" customWidth="1" style="3" min="8" max="8"/>
    <col width="12" customWidth="1" style="3" min="9" max="9"/>
    <col width="33" customWidth="1" style="3" min="10" max="10"/>
    <col width="8.83203125" customWidth="1" style="3" min="11" max="11"/>
    <col width="23" customWidth="1" style="3" min="12" max="12"/>
    <col width="14" customWidth="1" style="3" min="13" max="13"/>
    <col width="8.83203125" customWidth="1" style="3" min="14" max="14"/>
  </cols>
  <sheetData>
    <row r="1" ht="40" customHeight="1">
      <c r="A1" s="14" t="inlineStr">
        <is>
          <t>MATRIZ DE CUMPLIMIENTO CONTRACTUAL – Angel Mateus Arrieta Morelo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  <c r="L1" s="8" t="inlineStr">
        <is>
          <t>RESUMEN</t>
        </is>
      </c>
    </row>
    <row r="2" ht="32" customHeight="1">
      <c r="A2" s="14" t="inlineStr">
        <is>
          <t>Contrato HILEROS 055-2026 | Personal de comunicación y visibilidad (según objeto contractual)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20" t="n"/>
      <c r="L2" s="4" t="inlineStr">
        <is>
          <t>Indicador</t>
        </is>
      </c>
      <c r="M2" s="4" t="inlineStr">
        <is>
          <t>Valor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L3" s="5" t="inlineStr">
        <is>
          <t>Total de obligaciones</t>
        </is>
      </c>
      <c r="M3" s="5">
        <f>COUNTA(A9:A47)</f>
        <v/>
      </c>
    </row>
    <row r="4">
      <c r="A4" s="15" t="inlineStr">
        <is>
          <t>Contratista</t>
        </is>
      </c>
      <c r="B4" s="11" t="inlineStr">
        <is>
          <t>Angel Mateus Arrieta Morelo</t>
        </is>
      </c>
      <c r="C4" s="19" t="n"/>
      <c r="D4" s="20" t="n"/>
      <c r="E4" s="15" t="inlineStr">
        <is>
          <t>Contrato</t>
        </is>
      </c>
      <c r="F4" s="11" t="inlineStr">
        <is>
          <t>HILEROS 055-2026</t>
        </is>
      </c>
      <c r="G4" s="19" t="n"/>
      <c r="H4" s="19" t="n"/>
      <c r="I4" s="19" t="n"/>
      <c r="J4" s="20" t="n"/>
      <c r="L4" s="5" t="inlineStr">
        <is>
          <t>Cumplidas</t>
        </is>
      </c>
      <c r="M4" s="5">
        <f>COUNTIF(H9:H47,"Cumplido")</f>
        <v/>
      </c>
    </row>
    <row r="5" ht="31" customHeight="1">
      <c r="A5" s="15" t="inlineStr">
        <is>
          <t>Rol / objeto</t>
        </is>
      </c>
      <c r="B5" s="11" t="inlineStr">
        <is>
          <t>Personal de comunicación y visibilidad (según objeto contractual)</t>
        </is>
      </c>
      <c r="C5" s="19" t="n"/>
      <c r="D5" s="20" t="n"/>
      <c r="E5" s="15" t="inlineStr">
        <is>
          <t>Plazo</t>
        </is>
      </c>
      <c r="F5" s="11" t="inlineStr">
        <is>
          <t>1 de marzo de 2026 – 31 de octubre de 2026</t>
        </is>
      </c>
      <c r="G5" s="19" t="n"/>
      <c r="H5" s="19" t="n"/>
      <c r="I5" s="19" t="n"/>
      <c r="J5" s="20" t="n"/>
      <c r="L5" s="5" t="inlineStr">
        <is>
          <t>En proceso</t>
        </is>
      </c>
      <c r="M5" s="5">
        <f>COUNTIF(H9:H47,"En proceso")</f>
        <v/>
      </c>
    </row>
    <row r="6">
      <c r="A6" s="15" t="inlineStr">
        <is>
          <t>Proyecto</t>
        </is>
      </c>
      <c r="B6" s="11" t="inlineStr">
        <is>
          <t>Turning Tides P1010</t>
        </is>
      </c>
      <c r="C6" s="19" t="n"/>
      <c r="D6" s="20" t="n"/>
      <c r="E6" s="15" t="inlineStr">
        <is>
          <t xml:space="preserve">Coordinacion </t>
        </is>
      </c>
      <c r="F6" s="11" t="inlineStr">
        <is>
          <t xml:space="preserve">Francy Conu </t>
        </is>
      </c>
      <c r="G6" s="19" t="n"/>
      <c r="H6" s="19" t="n"/>
      <c r="I6" s="19" t="n"/>
      <c r="J6" s="20" t="n"/>
      <c r="L6" s="5" t="inlineStr">
        <is>
          <t>Avance promedio</t>
        </is>
      </c>
      <c r="M6" s="6">
        <f>IFERROR(AVERAGE(I9:I47)/100,0)</f>
        <v/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42.75" customFormat="1" customHeight="1" s="18">
      <c r="A8" s="16" t="inlineStr">
        <is>
          <t>No.</t>
        </is>
      </c>
      <c r="B8" s="16" t="inlineStr">
        <is>
          <t>Fase / componente</t>
        </is>
      </c>
      <c r="C8" s="16" t="inlineStr">
        <is>
          <t>Obligación o entregable</t>
        </is>
      </c>
      <c r="D8" s="16" t="inlineStr">
        <is>
          <t>Resultado esperado / criterio</t>
        </is>
      </c>
      <c r="E8" s="16" t="inlineStr">
        <is>
          <t>Actividades realizadas</t>
        </is>
      </c>
      <c r="F8" s="16" t="inlineStr">
        <is>
          <t>Producto o evidencia</t>
        </is>
      </c>
      <c r="G8" s="16" t="inlineStr">
        <is>
          <t>Enlace / anexo</t>
        </is>
      </c>
      <c r="H8" s="16" t="inlineStr">
        <is>
          <t>Estado</t>
        </is>
      </c>
      <c r="I8" s="16" t="inlineStr">
        <is>
          <t>% avance</t>
        </is>
      </c>
      <c r="J8" s="16" t="inlineStr">
        <is>
          <t>Observaciones / validación</t>
        </is>
      </c>
      <c r="K8" s="17" t="n"/>
      <c r="L8" s="17" t="n"/>
      <c r="M8" s="17" t="n"/>
      <c r="N8" s="17" t="n"/>
    </row>
    <row r="9" ht="64" customHeight="1">
      <c r="A9" s="12" t="inlineStr">
        <is>
          <t>1</t>
        </is>
      </c>
      <c r="B9" s="12" t="inlineStr">
        <is>
          <t>Coordinación</t>
        </is>
      </c>
      <c r="C9" s="12" t="inlineStr">
        <is>
          <t>Mantener comunicación constante con la coordinación del proyecto para los ajustes necesarios y realizar presentación de avances cada mes.</t>
        </is>
      </c>
      <c r="D9" s="12" t="inlineStr">
        <is>
          <t>Registro de coordinaciones, ajustes y presentaciones mensuales.</t>
        </is>
      </c>
      <c r="E9" s="12" t="inlineStr">
        <is>
          <t>Se sostuvo comunicación continua con la coordinación del proyecto para revisar prioridades funcionales, ajustes de contenido, definición de accesos y validación de avances de la plataforma. Los avances se reportaron mediante informes mensuales y espacios de seguimiento.</t>
        </is>
      </c>
      <c r="F9" s="12" t="inlineStr">
        <is>
          <t>Informes administrativos firmados de abril y mayo de 2026; registro base de reunión del 27 de marzo de 2026 (Google Meet, 49 minutos); trazabilidad de requerimientos funcionales y ajustes atendidos durante el periodo.</t>
        </is>
      </c>
      <c r="G9" s="12" t="inlineStr">
        <is>
          <t>https://pro-palenke-vw-two.vercel.app/docs ; informes ABRIL/MAYO 2026</t>
        </is>
      </c>
      <c r="H9" s="12" t="inlineStr">
        <is>
          <t>En proceso</t>
        </is>
      </c>
      <c r="I9" s="13" t="n">
        <v>100</v>
      </c>
      <c r="J9" s="12" t="n"/>
    </row>
    <row r="10" ht="64" customHeight="1">
      <c r="A10" s="12" t="inlineStr">
        <is>
          <t>3</t>
        </is>
      </c>
      <c r="B10" s="12" t="inlineStr">
        <is>
          <t>Fase 1 – MVP</t>
        </is>
      </c>
      <c r="C10" s="12" t="inlineStr">
        <is>
          <t>Desarrollar el MVP de la plataforma en el plazo establecido (3 meses).</t>
        </is>
      </c>
      <c r="D10" s="12" t="inlineStr">
        <is>
          <t>MVP funcional dentro del plazo contractual indicado.</t>
        </is>
      </c>
      <c r="E10" s="12" t="inlineStr">
        <is>
          <t>Se diseñó, desarrolló y desplegó el MVP de la plataforma con Next.js, React, TypeScript y Tailwind. El alcance funcional entregado en Fase 1 incluye inicio, biblioteca, memoria afroterritorial, MJN, gobierno propio, incidencia, mirador de datos (Power BI) y paneles administrativos base. El geoportal/geovisor interno no se incluye como entregable cerrado del MVP; corresponde a la siguiente etapa.</t>
        </is>
      </c>
      <c r="F10" s="12" t="inlineStr">
        <is>
          <t>MVP funcional. Catálogo de módulos/URLs: https://pro-palenke-vw-two.vercel.app/docs/modulos-y-urls. Docs generales: https://pro-palenke-vw-two.vercel.app/docs.</t>
        </is>
      </c>
      <c r="G10" s="12" t="inlineStr">
        <is>
          <t>https://pro-palenke-vw-two.vercel.app/ ; https://pro-palenke-vw-two.vercel.app/docs/modulos-y-urls ; https://pro-palenke-vw-two.vercel.app/docs</t>
        </is>
      </c>
      <c r="H10" s="12" t="inlineStr">
        <is>
          <t>Cumplido</t>
        </is>
      </c>
      <c r="I10" s="13" t="n">
        <v>100</v>
      </c>
      <c r="J10" s="12" t="n"/>
    </row>
    <row r="11" ht="64" customHeight="1">
      <c r="A11" s="12" t="inlineStr">
        <is>
          <t>4</t>
        </is>
      </c>
      <c r="B11" s="12" t="inlineStr">
        <is>
          <t>Fase 1 – MVP</t>
        </is>
      </c>
      <c r="C11" s="12" t="inlineStr">
        <is>
          <t>Implementar sistema de usuarios y roles (público, interno y administrador).</t>
        </is>
      </c>
      <c r="D11" s="12" t="inlineStr">
        <is>
          <t>Usuarios y roles implementados y probados.</t>
        </is>
      </c>
      <c r="E11" s="12" t="inlineStr">
        <is>
          <t>Se implementó autenticación con Supabase SSR, validación de sesión, control de permisos por rol y flujos de solicitud/aprobación de acceso. También se habilitaron superficies diferenciadas para visitante público, usuario interno y administración.</t>
        </is>
      </c>
      <c r="F11" s="12" t="inlineStr">
        <is>
          <t>Sistema de usuarios y roles operativo. Guía legible: https://pro-palenke-vw-two.vercel.app/docs/accesos. Login https://pro-palenke-vw-two.vercel.app/login. Admin angelarrieta34@gmail.com / welcome123. Interno fconu@renacientes.org / @welcome123. Panel https://pro-palenke-vw-two.vercel.app/admin.</t>
        </is>
      </c>
      <c r="G11" s="12" t="inlineStr">
        <is>
          <t>https://pro-palenke-vw-two.vercel.app/docs/accesos ; https://pro-palenke-vw-two.vercel.app/login ; https://pro-palenke-vw-two.vercel.app/admin</t>
        </is>
      </c>
      <c r="H11" s="12" t="inlineStr">
        <is>
          <t>Cumplido</t>
        </is>
      </c>
      <c r="I11" s="13" t="n">
        <v>100</v>
      </c>
      <c r="J11" s="12" t="n"/>
    </row>
    <row r="12" ht="64" customHeight="1">
      <c r="A12" s="12" t="inlineStr">
        <is>
          <t>5</t>
        </is>
      </c>
      <c r="B12" s="12" t="inlineStr">
        <is>
          <t>Fase 1 – MVP</t>
        </is>
      </c>
      <c r="C12" s="12" t="inlineStr">
        <is>
          <t>Configurar niveles de visibilidad de contenidos (público, interno y restringido).</t>
        </is>
      </c>
      <c r="D12" s="12" t="inlineStr">
        <is>
          <t>Permisos y niveles de visibilidad configurados.</t>
        </is>
      </c>
      <c r="E12" s="12" t="inlineStr">
        <is>
          <t>Se configuraron reglas de apertura y descarga por nivel de visibilidad, junto con validaciones por sesión y por rol para contenidos públicos e internos. El comportamiento también contempla accesos aprobados a documentos puntuales.</t>
        </is>
      </c>
      <c r="F12" s="12" t="inlineStr">
        <is>
          <t>Lógica de visibilidad y permisos activa para documentos, vistas protegidas y recursos con acceso condicionado por rol o por aprobación previa.</t>
        </is>
      </c>
      <c r="G12" s="12" t="inlineStr">
        <is>
          <t>https://pro-palenke-vw-two.vercel.app/docs/modulos-y-urls ; https://pro-palenke-vw-two.vercel.app/gobierno-propio ; https://pro-palenke-vw-two.vercel.app/biblioteca ; https://pro-palenke-vw-two.vercel.app/memoria-afroterritorial</t>
        </is>
      </c>
      <c r="H12" s="12" t="inlineStr">
        <is>
          <t>Cumplido</t>
        </is>
      </c>
      <c r="I12" s="13" t="n">
        <v>100</v>
      </c>
      <c r="J12" s="12" t="n"/>
    </row>
    <row r="13" ht="64" customHeight="1">
      <c r="A13" s="12" t="inlineStr">
        <is>
          <t>6</t>
        </is>
      </c>
      <c r="B13" s="12" t="inlineStr">
        <is>
          <t>Fase 1 – MVP</t>
        </is>
      </c>
      <c r="C13" s="12" t="inlineStr">
        <is>
          <t>Desarrollar e implementar la Biblioteca Base con buscador y filtros básicos.</t>
        </is>
      </c>
      <c r="D13" s="12" t="inlineStr">
        <is>
          <t>Biblioteca operativa con buscador y filtros.</t>
        </is>
      </c>
      <c r="E13" s="12" t="inlineStr">
        <is>
          <t>Se desarrolló la Biblioteca Base con barra de búsqueda, filtros por sección, territorio, tipo, año y temas, además de resumen de filtros activos y paginación. Se integró la sección de normativa con registros visibles por rol.</t>
        </is>
      </c>
      <c r="F13" s="12" t="inlineStr">
        <is>
          <t>Biblioteca Base navegable y filtrable, con búsqueda funcional, resumen de filtros y acceso al corpus documental del MVP.</t>
        </is>
      </c>
      <c r="G13" s="12" t="inlineStr">
        <is>
          <t>https://pro-palenke-vw-two.vercel.app/docs/modulos-y-urls ; https://pro-palenke-vw-two.vercel.app/biblioteca ; https://pro-palenke-vw-two.vercel.app/memoria-afroterritorial ; https://pro-palenke-vw-two.vercel.app/memoria-afroterritorial/mediateca-ubuntu</t>
        </is>
      </c>
      <c r="H13" s="12" t="inlineStr">
        <is>
          <t>Cumplido</t>
        </is>
      </c>
      <c r="I13" s="13" t="n">
        <v>100</v>
      </c>
      <c r="J13" s="12" t="n"/>
    </row>
    <row r="14" ht="64" customHeight="1">
      <c r="A14" s="12" t="inlineStr">
        <is>
          <t>7</t>
        </is>
      </c>
      <c r="B14" s="12" t="inlineStr">
        <is>
          <t>Fase 1 – MVP</t>
        </is>
      </c>
      <c r="C14" s="12" t="inlineStr">
        <is>
          <t>Crear la sección Mujeres, Juventudes y Niñez.</t>
        </is>
      </c>
      <c r="D14" s="12" t="inlineStr">
        <is>
          <t>Sección implementada y disponible.</t>
        </is>
      </c>
      <c r="E14" s="12" t="inlineStr">
        <is>
          <t>Se construyó la sección Mujeres, Juventudes y Niñez con hero editorial, contexto político, documentos filtrados por agenda, piezas autorizadas y campañas destacadas. Parte del componente de litigio estratégico sigue dependiendo de contenido definitivo del equipo.</t>
        </is>
      </c>
      <c r="F14" s="12" t="inlineStr">
        <is>
          <t>Sección MJN publicada con estructura editorial, tabs de contenido, piezas autorizadas y campañas visibles; pendiente completar insumos definitivos en algunos contenidos asociados a litigio.</t>
        </is>
      </c>
      <c r="G14" s="12" t="inlineStr">
        <is>
          <t>https://pro-palenke-vw-two.vercel.app/docs/modulos-y-urls ; https://pro-palenke-vw-two.vercel.app/mujeres-juventudes-ninez</t>
        </is>
      </c>
      <c r="H14" s="12" t="inlineStr">
        <is>
          <t>En proceso</t>
        </is>
      </c>
      <c r="I14" s="13" t="n">
        <v>90</v>
      </c>
      <c r="J14" s="12" t="n"/>
    </row>
    <row r="15" ht="64" customHeight="1">
      <c r="A15" s="12" t="inlineStr">
        <is>
          <t>8</t>
        </is>
      </c>
      <c r="B15" s="12" t="inlineStr">
        <is>
          <t>Fase 1 – MVP</t>
        </is>
      </c>
      <c r="C15" s="12" t="inlineStr">
        <is>
          <t>Integrar dashboards Power BI y enlace al geoportal interno.</t>
        </is>
      </c>
      <c r="D15" s="12" t="inlineStr">
        <is>
          <t>Dashboards y enlace integrados.</t>
        </is>
      </c>
      <c r="E15" s="12" t="inlineStr">
        <is>
          <t>Se integró el mirador de datos con tableros Power BI visibles según rol, panel SCITA para consumo de dashboards y superficie administrativa para crear y editar tableros. Respecto al geoportal interno: no se entrega como módulo implementado del MVP; solo se deja preparada una ruta/punto de acceso para la siguiente etapa del proyecto, donde corresponde la integración plena con el geoportal SIG del equipo.</t>
        </is>
      </c>
      <c r="F15" s="12" t="inlineStr">
        <is>
          <t>Power BI / mirador de datos: implementado (catálogo, SCITA/estadísticas, administración de tableros). Geoportal interno: NO implementado como módulo del MVP; diferido a la siguiente etapa. Evidencia de la página de acceso preparatoria en (no constituye cierre del módulo SIG).</t>
        </is>
      </c>
      <c r="G15" s="12" t="inlineStr">
        <is>
          <t>https://pro-palenke-vw-two.vercel.app/docs/modulos-y-urls ; https://pro-palenke-vw-two.vercel.app/estadisticas ; https://pro-palenke-vw-two.vercel.app/scita ; https://pro-palenke-vw-two.vercel.app/admin/dashboards ; Geoportal siguiente etapa: https://pro-palenke-vw-two.vercel.app/geoportal</t>
        </is>
      </c>
      <c r="H15" s="12" t="inlineStr">
        <is>
          <t>En proceso</t>
        </is>
      </c>
      <c r="I15" s="13" t="n">
        <v>70</v>
      </c>
      <c r="J15" s="12" t="n"/>
    </row>
    <row r="16" ht="64" customHeight="1">
      <c r="A16" s="12" t="inlineStr">
        <is>
          <t>9</t>
        </is>
      </c>
      <c r="B16" s="12" t="inlineStr">
        <is>
          <t>Fase 1 – MVP</t>
        </is>
      </c>
      <c r="C16" s="12" t="inlineStr">
        <is>
          <t>Implementar seguridad básica (SSL y control de accesos).</t>
        </is>
      </c>
      <c r="D16" s="12" t="inlineStr">
        <is>
          <t>SSL y control de accesos habilitados.</t>
        </is>
      </c>
      <c r="E16" s="12" t="inlineStr">
        <is>
          <t>Se aseguró el acceso HTTPS en despliegue y se implementaron validaciones de sesión, protección de rutas, control de permisos y separación de vistas según rol. La protección cubre páginas internas y superficies administrativas.</t>
        </is>
      </c>
      <c r="F16" s="12" t="inlineStr">
        <is>
          <t>Seguridad básica operativa (HTTPS + sesión/roles). Entrada admin/interno vía https://pro-palenke-vw-two.vercel.app/login ; credenciales admin e internas en https://pro-palenke-vw-two.vercel.app/docs/accesos</t>
        </is>
      </c>
      <c r="G16" s="12" t="inlineStr">
        <is>
          <t>https://pro-palenke-vw-two.vercel.app/docs/accesos ; https://pro-palenke-vw-two.vercel.app/login ; https://pro-palenke-vw-two.vercel.app/admin</t>
        </is>
      </c>
      <c r="H16" s="12" t="inlineStr">
        <is>
          <t>Cumplido</t>
        </is>
      </c>
      <c r="I16" s="13" t="n">
        <v>100</v>
      </c>
      <c r="J16" s="12" t="n"/>
    </row>
    <row r="17" ht="64" customHeight="1">
      <c r="A17" s="12" t="inlineStr">
        <is>
          <t>10</t>
        </is>
      </c>
      <c r="B17" s="12" t="inlineStr">
        <is>
          <t>Fase 1 – MVP</t>
        </is>
      </c>
      <c r="C17" s="12" t="inlineStr">
        <is>
          <t>Entregar código fuente completo y accesos administrativos.</t>
        </is>
      </c>
      <c r="D17" s="12" t="inlineStr">
        <is>
          <t>Código fuente y credenciales entregados formalmente.</t>
        </is>
      </c>
      <c r="E17" s="12" t="inlineStr">
        <is>
          <t>El código fuente permanece versionado en GitHub con historial de cambios y despliegues continuos. Repositorio privado: https://github.com/anuidev8/palenke. Existen superficies administrativas funcionales en la plataforma. La entrega formal de accesos (GitHub por email + credenciales admin + acta) pertenece al cierre contractual.</t>
        </is>
      </c>
      <c r="F17" s="12" t="inlineStr">
        <is>
          <t>Código en GitHub privado + guía https://pro-palenke-vw-two.vercel.app/docs/repositorio-codigo. Accesos plataforma: https://pro-palenke-vw-two.vercel.app/docs/accesos. Pendiente acta formal de transferencia.</t>
        </is>
      </c>
      <c r="G17" s="12" t="inlineStr">
        <is>
          <t>https://pro-palenke-vw-two.vercel.app/docs/repositorio-codigo ; https://github.com/anuidev8/palenke (privado; invitar por email) ; https://pro-palenke-vw-two.vercel.app/docs/accesos</t>
        </is>
      </c>
      <c r="H17" s="12" t="inlineStr">
        <is>
          <t>En proceso</t>
        </is>
      </c>
      <c r="I17" s="13" t="n">
        <v>60</v>
      </c>
      <c r="J17" s="12" t="n"/>
    </row>
    <row r="18" ht="64" customHeight="1">
      <c r="A18" s="12" t="inlineStr">
        <is>
          <t>11</t>
        </is>
      </c>
      <c r="B18" s="12" t="inlineStr">
        <is>
          <t>Fase 1 – MVP</t>
        </is>
      </c>
      <c r="C18" s="12" t="inlineStr">
        <is>
          <t>Entregar documentación técnica básica.</t>
        </is>
      </c>
      <c r="D18" s="12" t="inlineStr">
        <is>
          <t>Documentación técnica básica completa.</t>
        </is>
      </c>
      <c r="E18" s="12" t="inlineStr">
        <is>
          <t>Se elaboró documentación técnica del MVP en formatos Markdown, HTML y PDF, junto con el protocolo operativo de integración SIG - BI - PostgreSQL - Power BI - Palenke.</t>
        </is>
      </c>
      <c r="F18" s="12" t="inlineStr">
        <is>
          <t>Documentación técnica legible en https://pro-palenke-vw-two.vercel.app/docs (arquitectura/DB: https://pro-palenke-vw-two.vercel.app/docs/arquitectura-y-base-de-datos; construcción por módulo: https://pro-palenke-vw-two.vercel.app/docs/como-esta-construido) y paquete docs/technical en el repositorio.</t>
        </is>
      </c>
      <c r="G18" s="12" t="inlineStr">
        <is>
          <t>https://pro-palenke-vw-two.vercel.app/docs ; https://pro-palenke-vw-two.vercel.app/docs/arquitectura-y-base-de-datos ; https://pro-palenke-vw-two.vercel.app/docs/como-esta-construido ; docs/technical/palenke-mvp-technical-documentation.md</t>
        </is>
      </c>
      <c r="H18" s="12" t="inlineStr">
        <is>
          <t>Cumplido</t>
        </is>
      </c>
      <c r="I18" s="13" t="n">
        <v>100</v>
      </c>
      <c r="J18" s="12" t="n"/>
    </row>
    <row r="19" ht="64" customHeight="1">
      <c r="A19" s="12" t="inlineStr">
        <is>
          <t>12</t>
        </is>
      </c>
      <c r="B19" s="12" t="inlineStr">
        <is>
          <t>Fase 1 – MVP</t>
        </is>
      </c>
      <c r="C19" s="12" t="inlineStr">
        <is>
          <t>Capacitar al equipo designado.</t>
        </is>
      </c>
      <c r="D19" s="12" t="inlineStr">
        <is>
          <t>Capacitación realizada y soportada.</t>
        </is>
      </c>
      <c r="E19" s="12" t="inlineStr">
        <is>
          <t>No se encontró evidencia formal en el repositorio de una sesión de capacitación cerrada con lista de asistencia, agenda, material o grabación entregable para este ítem.</t>
        </is>
      </c>
      <c r="F19" s="12" t="inlineStr">
        <is>
          <t>Sin evidencia formal de capacitación al equipo designado dentro del corte revisado.</t>
        </is>
      </c>
      <c r="G19" s="12" t="inlineStr">
        <is>
          <t>https://pro-palenke-vw-two.vercel.app/docs</t>
        </is>
      </c>
      <c r="H19" s="12" t="inlineStr">
        <is>
          <t>No iniciado</t>
        </is>
      </c>
      <c r="I19" s="13" t="n">
        <v>0</v>
      </c>
      <c r="J19" s="12" t="n"/>
    </row>
    <row r="20" ht="64" customHeight="1">
      <c r="A20" s="12" t="inlineStr">
        <is>
          <t>13</t>
        </is>
      </c>
      <c r="B20" s="12" t="inlineStr">
        <is>
          <t>Fase 1 – MVP</t>
        </is>
      </c>
      <c r="C20" s="12" t="inlineStr">
        <is>
          <t>Corregir fallas detectadas antes de la entrega final.</t>
        </is>
      </c>
      <c r="D20" s="12" t="inlineStr">
        <is>
          <t>Incidencias resueltas y versión final estabilizada.</t>
        </is>
      </c>
      <c r="E20" s="12" t="inlineStr">
        <is>
          <t>Durante el periodo se atendieron ajustes funcionales, visuales y de estructura de datos, incluyendo refactors, rediseños de módulos y correcciones derivadas de requerimientos nuevos o cambios editoriales.</t>
        </is>
      </c>
      <c r="F20" s="12" t="inlineStr">
        <is>
          <t>Historial de mejoras y correcciones en curso, soportado por cambios en el repositorio y por la trazabilidad consignada en informes mensuales.</t>
        </is>
      </c>
      <c r="G20" s="12" t="inlineStr">
        <is>
          <t>https://pro-palenke-vw-two.vercel.app/docs/modulos-y-urls ; https://pro-palenke-vw-two.vercel.app/ ; https://github.com/anuidev8/palenke</t>
        </is>
      </c>
      <c r="H20" s="12" t="inlineStr">
        <is>
          <t>En proceso</t>
        </is>
      </c>
      <c r="I20" s="13" t="n">
        <v>50</v>
      </c>
      <c r="J20" s="12" t="n"/>
    </row>
    <row r="21" ht="64" customHeight="1">
      <c r="A21" s="12" t="inlineStr">
        <is>
          <t>14.1</t>
        </is>
      </c>
      <c r="B21" s="12" t="inlineStr">
        <is>
          <t>Entregable Fase 1</t>
        </is>
      </c>
      <c r="C21" s="12" t="inlineStr">
        <is>
          <t>Plataforma web MVP completamente funcional.</t>
        </is>
      </c>
      <c r="D21" s="12" t="inlineStr">
        <is>
          <t>Producto verificable y recibido.</t>
        </is>
      </c>
      <c r="E21" s="12" t="inlineStr">
        <is>
          <t>Producto consolidado a partir de la obligación 3: MVP publicado y verificable en la URL vigente del proyecto.</t>
        </is>
      </c>
      <c r="F21" s="12" t="inlineStr">
        <is>
          <t>Plataforma web MVP completamente funcional para validación cliente/supervisión.</t>
        </is>
      </c>
      <c r="G21" s="12" t="inlineStr">
        <is>
          <t>https://pro-palenke-vw-two.vercel.app/docs/modulos-y-urls ; https://pro-palenke-vw-two.vercel.app/</t>
        </is>
      </c>
      <c r="H21" s="12" t="inlineStr">
        <is>
          <t>Cumplido</t>
        </is>
      </c>
      <c r="I21" s="13" t="n">
        <v>100</v>
      </c>
      <c r="J21" s="12" t="n"/>
    </row>
    <row r="22" ht="64" customHeight="1">
      <c r="A22" s="12" t="inlineStr">
        <is>
          <t>14.2</t>
        </is>
      </c>
      <c r="B22" s="12" t="inlineStr">
        <is>
          <t>Entregable Fase 1</t>
        </is>
      </c>
      <c r="C22" s="12" t="inlineStr">
        <is>
          <t>Sistema de usuarios y roles (público, interno y administrador).</t>
        </is>
      </c>
      <c r="D22" s="12" t="inlineStr">
        <is>
          <t>Producto verificable y recibido.</t>
        </is>
      </c>
      <c r="E22" s="12" t="inlineStr">
        <is>
          <t>Producto consolidado a partir de la obligación 4: autenticación, roles y superficies diferenciadas.</t>
        </is>
      </c>
      <c r="F22" s="12" t="inlineStr">
        <is>
          <t>Sistema de usuarios y roles implementado y listo para continuidad operativa.</t>
        </is>
      </c>
      <c r="G22" s="12" t="inlineStr">
        <is>
          <t>https://pro-palenke-vw-two.vercel.app/docs/accesos ; https://pro-palenke-vw-two.vercel.app/login ; https://pro-palenke-vw-two.vercel.app/admin</t>
        </is>
      </c>
      <c r="H22" s="12" t="inlineStr">
        <is>
          <t>Cumplido</t>
        </is>
      </c>
      <c r="I22" s="13" t="n">
        <v>100</v>
      </c>
      <c r="J22" s="12" t="n"/>
    </row>
    <row r="23" ht="64" customHeight="1">
      <c r="A23" s="12" t="inlineStr">
        <is>
          <t>14.3</t>
        </is>
      </c>
      <c r="B23" s="12" t="inlineStr">
        <is>
          <t>Entregable Fase 1</t>
        </is>
      </c>
      <c r="C23" s="12" t="inlineStr">
        <is>
          <t>Configuración de niveles de visibilidad (público, interno y restringido).</t>
        </is>
      </c>
      <c r="D23" s="12" t="inlineStr">
        <is>
          <t>Producto verificable y recibido.</t>
        </is>
      </c>
      <c r="E23" s="12" t="inlineStr">
        <is>
          <t>Producto consolidado a partir de la obligación 5: reglas de visibilidad por rol y por acceso aprobado.</t>
        </is>
      </c>
      <c r="F23" s="12" t="inlineStr">
        <is>
          <t>Configuración de visibilidad operativa para contenidos públicos e internos.</t>
        </is>
      </c>
      <c r="G23" s="12" t="inlineStr">
        <is>
          <t>https://pro-palenke-vw-two.vercel.app/docs/modulos-y-urls ; https://pro-palenke-vw-two.vercel.app/gobierno-propio ; https://pro-palenke-vw-two.vercel.app/biblioteca</t>
        </is>
      </c>
      <c r="H23" s="12" t="inlineStr">
        <is>
          <t>Cumplido</t>
        </is>
      </c>
      <c r="I23" s="13" t="n">
        <v>100</v>
      </c>
      <c r="J23" s="12" t="n"/>
    </row>
    <row r="24" ht="64" customHeight="1">
      <c r="A24" s="12" t="inlineStr">
        <is>
          <t>14.4</t>
        </is>
      </c>
      <c r="B24" s="12" t="inlineStr">
        <is>
          <t>Entregable Fase 1</t>
        </is>
      </c>
      <c r="C24" s="12" t="inlineStr">
        <is>
          <t>Biblioteca Base con buscador y filtros básicos.</t>
        </is>
      </c>
      <c r="D24" s="12" t="inlineStr">
        <is>
          <t>Producto verificable y recibido.</t>
        </is>
      </c>
      <c r="E24" s="12" t="inlineStr">
        <is>
          <t>Producto consolidado a partir de la obligación 6: módulo de Biblioteca Base navegable y filtrable.</t>
        </is>
      </c>
      <c r="F24" s="12" t="inlineStr">
        <is>
          <t>Biblioteca Base disponible en entorno vigente del proyecto.</t>
        </is>
      </c>
      <c r="G24" s="12" t="inlineStr">
        <is>
          <t>https://pro-palenke-vw-two.vercel.app/docs/modulos-y-urls ; https://pro-palenke-vw-two.vercel.app/biblioteca ; https://pro-palenke-vw-two.vercel.app/memoria-afroterritorial</t>
        </is>
      </c>
      <c r="H24" s="12" t="inlineStr">
        <is>
          <t>Cumplido</t>
        </is>
      </c>
      <c r="I24" s="13" t="n">
        <v>100</v>
      </c>
      <c r="J24" s="12" t="n"/>
    </row>
    <row r="25" ht="64" customHeight="1">
      <c r="A25" s="12" t="inlineStr">
        <is>
          <t>14.5</t>
        </is>
      </c>
      <c r="B25" s="12" t="inlineStr">
        <is>
          <t>Entregable Fase 1</t>
        </is>
      </c>
      <c r="C25" s="12" t="inlineStr">
        <is>
          <t>Sección Mujeres, Juventudes y Niñez.</t>
        </is>
      </c>
      <c r="D25" s="12" t="inlineStr">
        <is>
          <t>Producto verificable y recibido.</t>
        </is>
      </c>
      <c r="E25" s="12" t="inlineStr">
        <is>
          <t>Producto consolidado a partir de la obligación 7: arquitectura editorial del módulo MJN ya publicada.</t>
        </is>
      </c>
      <c r="F25" s="12" t="inlineStr">
        <is>
          <t>Sección MJN operativa, con contenidos aún abiertos a completitud editorial.</t>
        </is>
      </c>
      <c r="G25" s="12" t="inlineStr">
        <is>
          <t>https://pro-palenke-vw-two.vercel.app/docs/modulos-y-urls ; https://pro-palenke-vw-two.vercel.app/mujeres-juventudes-ninez</t>
        </is>
      </c>
      <c r="H25" s="12" t="inlineStr">
        <is>
          <t>En proceso</t>
        </is>
      </c>
      <c r="I25" s="13" t="n">
        <v>90</v>
      </c>
      <c r="J25" s="12" t="n"/>
    </row>
    <row r="26" ht="64" customHeight="1">
      <c r="A26" s="12" t="inlineStr">
        <is>
          <t>14.6</t>
        </is>
      </c>
      <c r="B26" s="12" t="inlineStr">
        <is>
          <t>Entregable Fase 1</t>
        </is>
      </c>
      <c r="C26" s="12" t="inlineStr">
        <is>
          <t>Integración de dashboards Power BI.</t>
        </is>
      </c>
      <c r="D26" s="12" t="inlineStr">
        <is>
          <t>Producto verificable y recibido.</t>
        </is>
      </c>
      <c r="E26" s="12" t="inlineStr">
        <is>
          <t>Producto consolidado a partir de la obligación 8: paneles de datos y administración de dashboards ya integrados en la plataforma.</t>
        </is>
      </c>
      <c r="F26" s="12" t="inlineStr">
        <is>
          <t>Integración funcional de tableros Power BI dentro del ecosistema Palenke.</t>
        </is>
      </c>
      <c r="G26" s="12" t="inlineStr">
        <is>
          <t>https://pro-palenke-vw-two.vercel.app/docs/modulos-y-urls ; https://pro-palenke-vw-two.vercel.app/estadisticas ; https://pro-palenke-vw-two.vercel.app/scita ; https://pro-palenke-vw-two.vercel.app/admin/dashboards</t>
        </is>
      </c>
      <c r="H26" s="12" t="inlineStr">
        <is>
          <t>Cumplido</t>
        </is>
      </c>
      <c r="I26" s="13" t="n">
        <v>100</v>
      </c>
      <c r="J26" s="12" t="n"/>
    </row>
    <row r="27" ht="64" customHeight="1">
      <c r="A27" s="12" t="inlineStr">
        <is>
          <t>14.7</t>
        </is>
      </c>
      <c r="B27" s="12" t="inlineStr">
        <is>
          <t>Entregable Fase 1</t>
        </is>
      </c>
      <c r="C27" s="12" t="inlineStr">
        <is>
          <t>Enlace seguro al geoportal interno.</t>
        </is>
      </c>
      <c r="D27" s="12" t="inlineStr">
        <is>
          <t>Producto verificable y recibido.</t>
        </is>
      </c>
      <c r="E27" s="12" t="inlineStr">
        <is>
          <t>Este entregable (enlace/módulo seguro al geoportal interno) no se cierra dentro del MVP. En Fase 1 solo existe una página/punto de entrada preparatorio. La implementación del módulo geoportal corresponde a la siguiente etapa del proyecto.</t>
        </is>
      </c>
      <c r="F27" s="12" t="inlineStr">
        <is>
          <t>Insumo de continuidad / siguiente etapa: ruta de acceso preparada (/geoportal), sin cierre del módulo geoportal SIG como parte del MVP.</t>
        </is>
      </c>
      <c r="G27" s="12" t="inlineStr">
        <is>
          <t>https://pro-palenke-vw-two.vercel.app/docs/modulos-y-urls ; https://pro-palenke-vw-two.vercel.app/geoportal ; https://pro-palenke-vw-two.vercel.app/docs/accesos (siguiente etapa / no MVP)</t>
        </is>
      </c>
      <c r="H27" s="12" t="inlineStr">
        <is>
          <t>Insumo de continuidad</t>
        </is>
      </c>
      <c r="I27" s="13" t="n">
        <v>30</v>
      </c>
      <c r="J27" s="12" t="n"/>
    </row>
    <row r="28" ht="64" customHeight="1">
      <c r="A28" s="12" t="inlineStr">
        <is>
          <t>14.8</t>
        </is>
      </c>
      <c r="B28" s="12" t="inlineStr">
        <is>
          <t>Entregable Fase 1</t>
        </is>
      </c>
      <c r="C28" s="12" t="inlineStr">
        <is>
          <t>Implementación de seguridad básica (SSL y control de accesos).</t>
        </is>
      </c>
      <c r="D28" s="12" t="inlineStr">
        <is>
          <t>Producto verificable y recibido.</t>
        </is>
      </c>
      <c r="E28" s="12" t="inlineStr">
        <is>
          <t>Producto consolidado a partir de la obligación 9: despliegue HTTPS y control de accesos por sesión/rol.</t>
        </is>
      </c>
      <c r="F28" s="12" t="inlineStr">
        <is>
          <t>Seguridad básica implementada según alcance Fase 1.</t>
        </is>
      </c>
      <c r="G28" s="12" t="inlineStr">
        <is>
          <t>https://pro-palenke-vw-two.vercel.app/docs/accesos ; https://pro-palenke-vw-two.vercel.app/login ; https://pro-palenke-vw-two.vercel.app/admin</t>
        </is>
      </c>
      <c r="H28" s="12" t="inlineStr">
        <is>
          <t>Cumplido</t>
        </is>
      </c>
      <c r="I28" s="13" t="n">
        <v>100</v>
      </c>
      <c r="J28" s="12" t="n"/>
    </row>
    <row r="29" ht="64" customHeight="1">
      <c r="A29" s="12" t="inlineStr">
        <is>
          <t>14.9</t>
        </is>
      </c>
      <c r="B29" s="12" t="inlineStr">
        <is>
          <t>Entregable Fase 1</t>
        </is>
      </c>
      <c r="C29" s="12" t="inlineStr">
        <is>
          <t>Entrega de código fuente en repositorio Git.</t>
        </is>
      </c>
      <c r="D29" s="12" t="inlineStr">
        <is>
          <t>Repositorio entregado y accesible.</t>
        </is>
      </c>
      <c r="E29" s="12" t="inlineStr">
        <is>
          <t>Entregable asociado a la obligación 10: código en repositorio privado https://github.com/anuidev8/palenke. Acceso mediante invitación por correo electrónico en GitHub. Pendiente cierre documental (acta/credenciales admin).</t>
        </is>
      </c>
      <c r="F29" s="12" t="inlineStr">
        <is>
          <t>Código fuente versionado en https://github.com/anuidev8/palenke (privado). Listo para transferencia con acceso por email.</t>
        </is>
      </c>
      <c r="G29" s="12" t="inlineStr">
        <is>
          <t>https://pro-palenke-vw-two.vercel.app/docs/repositorio-codigo ; https://github.com/anuidev8/palenke</t>
        </is>
      </c>
      <c r="H29" s="12" t="inlineStr">
        <is>
          <t>En proceso</t>
        </is>
      </c>
      <c r="I29" s="13" t="n">
        <v>60</v>
      </c>
      <c r="J29" s="12" t="n"/>
    </row>
    <row r="30" ht="64" customHeight="1">
      <c r="A30" s="12" t="inlineStr">
        <is>
          <t>14.10</t>
        </is>
      </c>
      <c r="B30" s="12" t="inlineStr">
        <is>
          <t>Entregable Fase 1</t>
        </is>
      </c>
      <c r="C30" s="12" t="inlineStr">
        <is>
          <t>Documentación técnica básica.</t>
        </is>
      </c>
      <c r="D30" s="12" t="inlineStr">
        <is>
          <t>Documento entregado.</t>
        </is>
      </c>
      <c r="E30" s="12" t="inlineStr">
        <is>
          <t>Producto consolidado a partir de la obligación 11: documentación del MVP y protocolo técnico disponibles.</t>
        </is>
      </c>
      <c r="F30" s="12" t="inlineStr">
        <is>
          <t>Documentación técnica básica entregada.</t>
        </is>
      </c>
      <c r="G30" s="12" t="inlineStr">
        <is>
          <t>https://pro-palenke-vw-two.vercel.app/docs ; https://pro-palenke-vw-two.vercel.app/docs/arquitectura-y-base-de-datos ; https://pro-palenke-vw-two.vercel.app/docs/como-esta-construido</t>
        </is>
      </c>
      <c r="H30" s="12" t="inlineStr">
        <is>
          <t>Cumplido</t>
        </is>
      </c>
      <c r="I30" s="13" t="n">
        <v>100</v>
      </c>
      <c r="J30" s="12" t="n"/>
    </row>
    <row r="31" ht="64" customHeight="1">
      <c r="A31" s="12" t="inlineStr">
        <is>
          <t>16</t>
        </is>
      </c>
      <c r="B31" s="12" t="inlineStr">
        <is>
          <t>Fase 2 – Plataforma integral</t>
        </is>
      </c>
      <c r="C31" s="12" t="inlineStr">
        <is>
          <t>Implementar taxonomías y metadatos avanzados para organización de contenidos.</t>
        </is>
      </c>
      <c r="D31" s="12" t="inlineStr">
        <is>
          <t>Taxonomías y metadatos implementados.</t>
        </is>
      </c>
      <c r="E31" s="12" t="inlineStr">
        <is>
          <t>Se avanzó en metadatos y taxonomías mediante varias migraciones y ajustes editoriales para gobierno propio, conservación, reglamentos y publicaciones. El modelo ya organiza mejor el contenido, pero aún no cubre de forma homogénea todos los módulos documentales.</t>
        </is>
      </c>
      <c r="F31" s="12" t="inlineStr">
        <is>
          <t>Taxonomías y metadatos parciales implementados en varios componentes del sistema, reutilizables para la fase integral.</t>
        </is>
      </c>
      <c r="G31" s="12" t="inlineStr">
        <is>
          <t>https://pro-palenke-vw-two.vercel.app/docs/arquitectura-y-base-de-datos ; https://pro-palenke-vw-two.vercel.app/gobierno-propio ; https://pro-palenke-vw-two.vercel.app/biblioteca</t>
        </is>
      </c>
      <c r="H31" s="12" t="inlineStr">
        <is>
          <t>En proceso</t>
        </is>
      </c>
      <c r="I31" s="13" t="n">
        <v>55</v>
      </c>
      <c r="J31" s="12" t="n"/>
    </row>
    <row r="32" ht="64" customHeight="1">
      <c r="A32" s="12" t="inlineStr">
        <is>
          <t>17</t>
        </is>
      </c>
      <c r="B32" s="12" t="inlineStr">
        <is>
          <t>Fase 2 – Plataforma integral</t>
        </is>
      </c>
      <c r="C32" s="12" t="inlineStr">
        <is>
          <t>Desarrollar motor de búsqueda avanzada con múltiples filtros.</t>
        </is>
      </c>
      <c r="D32" s="12" t="inlineStr">
        <is>
          <t>Motor de búsqueda avanzado operativo.</t>
        </is>
      </c>
      <c r="E32" s="12" t="inlineStr">
        <is>
          <t>Actualmente existen búsqueda por texto, filtros múltiples, chips de temas, buscadores por módulo y una capa adicional de búsqueda asistida para biblioteca/mediateca. Aún no existe un único motor transversal para todos los módulos de la plataforma integral.</t>
        </is>
      </c>
      <c r="F32" s="12" t="inlineStr">
        <is>
          <t>Capacidades de búsqueda avanzada parciales: filtros múltiples en biblioteca, búsqueda por módulo, búsqueda jurídica y panel de búsqueda asistida.</t>
        </is>
      </c>
      <c r="G32" s="12" t="inlineStr">
        <is>
          <t>https://pro-palenke-vw-two.vercel.app/docs/modulos-y-urls ; https://pro-palenke-vw-two.vercel.app/biblioteca</t>
        </is>
      </c>
      <c r="H32" s="12" t="inlineStr">
        <is>
          <t>En proceso</t>
        </is>
      </c>
      <c r="I32" s="13" t="n">
        <v>60</v>
      </c>
      <c r="J32" s="12" t="n"/>
    </row>
    <row r="33" ht="64" customHeight="1">
      <c r="A33" s="12" t="inlineStr">
        <is>
          <t>18</t>
        </is>
      </c>
      <c r="B33" s="12" t="inlineStr">
        <is>
          <t>Fase 2 – Plataforma integral</t>
        </is>
      </c>
      <c r="C33" s="12" t="inlineStr">
        <is>
          <t>Implementar módulo de Áreas de Conservación Comunitaria (ACCs).</t>
        </is>
      </c>
      <c r="D33" s="12" t="inlineStr">
        <is>
          <t>Módulo ACCs implementado.</t>
        </is>
      </c>
      <c r="E33" s="12" t="inlineStr">
        <is>
          <t>Se implementó un módulo administrativo de ACCs y su correlato público en gobierno propio, con metadatos territoriales, visibilidad, vínculo a dashboard y referencia preparatoria al geoportal (módulo diferido a siguiente etapa, fuera del MVP). El módulo ya es demostrable, aunque el cierre fino de contenido y operación sigue abierto.</t>
        </is>
      </c>
      <c r="F33" s="12" t="inlineStr">
        <is>
          <t>Módulo ACC funcional para gestión y visualización, con estructura pública y administrativa disponible.</t>
        </is>
      </c>
      <c r="G33" s="12" t="inlineStr">
        <is>
          <t>https://pro-palenke-vw-two.vercel.app/docs/modulos-y-urls ; https://pro-palenke-vw-two.vercel.app/gobierno-propio ; https://pro-palenke-vw-two.vercel.app/admin/accs ; https://pro-palenke-vw-two.vercel.app/docs/accesos</t>
        </is>
      </c>
      <c r="H33" s="12" t="inlineStr">
        <is>
          <t>En proceso</t>
        </is>
      </c>
      <c r="I33" s="13" t="n">
        <v>90</v>
      </c>
      <c r="J33" s="12" t="n"/>
    </row>
    <row r="34" ht="64" customHeight="1">
      <c r="A34" s="12" t="inlineStr">
        <is>
          <t>19</t>
        </is>
      </c>
      <c r="B34" s="12" t="inlineStr">
        <is>
          <t>Fase 2 – Plataforma integral</t>
        </is>
      </c>
      <c r="C34" s="12" t="inlineStr">
        <is>
          <t>Desarrollar módulo estructurado de incidencia política y litigio estratégico.</t>
        </is>
      </c>
      <c r="D34" s="12" t="inlineStr">
        <is>
          <t>Módulo implementado y probado.</t>
        </is>
      </c>
      <c r="E34" s="12" t="inlineStr">
        <is>
          <t>Se habilitó la sección de Incidencia/Lo Último con listado, detalle, búsqueda, paginación y soporte para publicaciones con imagen o embeds sociales. El componente de litigio estratégico estructurado sigue dependiendo de insumos definitivos y de consolidación editorial.</t>
        </is>
      </c>
      <c r="F34" s="12" t="inlineStr">
        <is>
          <t>Módulo de incidencia publicado y utilizable; componente de litigio estratégico aún en consolidación.</t>
        </is>
      </c>
      <c r="G34" s="12" t="inlineStr">
        <is>
          <t>https://pro-palenke-vw-two.vercel.app/docs/modulos-y-urls ; https://pro-palenke-vw-two.vercel.app/incidencia ; https://pro-palenke-vw-two.vercel.app/noticias</t>
        </is>
      </c>
      <c r="H34" s="12" t="inlineStr">
        <is>
          <t>En proceso</t>
        </is>
      </c>
      <c r="I34" s="13" t="n">
        <v>55</v>
      </c>
      <c r="J34" s="12" t="n"/>
    </row>
    <row r="35" ht="64" customHeight="1">
      <c r="A35" s="12" t="inlineStr">
        <is>
          <t>20</t>
        </is>
      </c>
      <c r="B35" s="12" t="inlineStr">
        <is>
          <t>Fase 2 – Plataforma integral</t>
        </is>
      </c>
      <c r="C35" s="12" t="inlineStr">
        <is>
          <t>Fortalecer integraciones técnicas (APIs e interoperabilidad).</t>
        </is>
      </c>
      <c r="D35" s="12" t="inlineStr">
        <is>
          <t>Integraciones ampliadas y documentadas.</t>
        </is>
      </c>
      <c r="E35" s="12" t="inlineStr">
        <is>
          <t>Se construyeron APIs internas de la propia plataforma para solicitudes de acceso, mensajes de contacto, carga/preparación de evidencias SCITA y previsualización/URL firmada de documentos. No se documentan integraciones amplias con APIs externas de terceros dentro de este entregable.</t>
        </is>
      </c>
      <c r="F35" s="12" t="inlineStr">
        <is>
          <t>Conjunto de endpoints internos implementados para soporte funcional del portal, administración de acceso y gestión documental.</t>
        </is>
      </c>
      <c r="G35" s="12" t="inlineStr">
        <is>
          <t>https://pro-palenke-vw-two.vercel.app/docs/arquitectura-y-base-de-datos ; https://pro-palenke-vw-two.vercel.app/docs ; https://pro-palenke-vw-two.vercel.app/</t>
        </is>
      </c>
      <c r="H35" s="12" t="inlineStr">
        <is>
          <t>En proceso</t>
        </is>
      </c>
      <c r="I35" s="13" t="n">
        <v>60</v>
      </c>
      <c r="J35" s="12" t="n"/>
    </row>
    <row r="36" ht="64" customHeight="1">
      <c r="A36" s="12" t="inlineStr">
        <is>
          <t>21</t>
        </is>
      </c>
      <c r="B36" s="12" t="inlineStr">
        <is>
          <t>Fase 2 – Plataforma integral</t>
        </is>
      </c>
      <c r="C36" s="12" t="inlineStr">
        <is>
          <t>Optimizar rendimiento y reforzar seguridad de la plataforma.</t>
        </is>
      </c>
      <c r="D36" s="12" t="inlineStr">
        <is>
          <t>Mejoras de rendimiento y seguridad verificadas.</t>
        </is>
      </c>
      <c r="E36" s="12" t="inlineStr">
        <is>
          <t>No se encontró evidencia suficiente de una fase formal de optimización de rendimiento ni de hardening adicional de seguridad más allá del control de acceso básico ya implementado.</t>
        </is>
      </c>
      <c r="F36" s="12" t="inlineStr">
        <is>
          <t>Sin evidencia formal de optimización ampliada o auditoría específica de performance/seguridad.</t>
        </is>
      </c>
      <c r="G36" s="12" t="inlineStr">
        <is>
          <t>https://pro-palenke-vw-two.vercel.app/docs</t>
        </is>
      </c>
      <c r="H36" s="12" t="inlineStr">
        <is>
          <t>No iniciado</t>
        </is>
      </c>
      <c r="I36" s="13" t="n">
        <v>0</v>
      </c>
      <c r="J36" s="12" t="n"/>
    </row>
    <row r="37" ht="64" customHeight="1">
      <c r="A37" s="12" t="inlineStr">
        <is>
          <t>22</t>
        </is>
      </c>
      <c r="B37" s="12" t="inlineStr">
        <is>
          <t>Fase 2 – Plataforma integral</t>
        </is>
      </c>
      <c r="C37" s="12" t="inlineStr">
        <is>
          <t>Ampliar la documentación técnica del sistema.</t>
        </is>
      </c>
      <c r="D37" s="12" t="inlineStr">
        <is>
          <t>Documentación técnica ampliada.</t>
        </is>
      </c>
      <c r="E37" s="12" t="inlineStr">
        <is>
          <t>Además de la documentación básica del MVP, ya existen un protocolo técnico de integración y un checklist de cumplimiento que sirven como base para ampliar la documentación del sistema. Aún falta consolidar un paquete único de documentación ampliada de Fase 2.</t>
        </is>
      </c>
      <c r="F37" s="12" t="inlineStr">
        <is>
          <t>Base documental ampliada en construcción: protocolo técnico, checklist de cumplimiento y materiales de continuidad.</t>
        </is>
      </c>
      <c r="G37" s="12" t="inlineStr">
        <is>
          <t>https://pro-palenke-vw-two.vercel.app/docs ; https://pro-palenke-vw-two.vercel.app/docs/arquitectura-y-base-de-datos ; https://pro-palenke-vw-two.vercel.app/docs/como-esta-construido</t>
        </is>
      </c>
      <c r="H37" s="12" t="inlineStr">
        <is>
          <t>En proceso</t>
        </is>
      </c>
      <c r="I37" s="13" t="n">
        <v>60</v>
      </c>
      <c r="J37" s="12" t="n"/>
    </row>
    <row r="38" ht="64" customHeight="1">
      <c r="A38" s="12" t="inlineStr">
        <is>
          <t>23</t>
        </is>
      </c>
      <c r="B38" s="12" t="inlineStr">
        <is>
          <t>Fase 2 – Plataforma integral</t>
        </is>
      </c>
      <c r="C38" s="12" t="inlineStr">
        <is>
          <t>Realizar capacitación complementaria al equipo.</t>
        </is>
      </c>
      <c r="D38" s="12" t="inlineStr">
        <is>
          <t>Capacitación complementaria soportada.</t>
        </is>
      </c>
      <c r="E38" s="12" t="inlineStr">
        <is>
          <t>No se encontró evidencia formal de capacitación complementaria documentada en el repositorio para este corte.</t>
        </is>
      </c>
      <c r="F38" s="12" t="inlineStr">
        <is>
          <t>Sin evidencia formal de capacitación complementaria.</t>
        </is>
      </c>
      <c r="G38" s="12" t="inlineStr">
        <is>
          <t>https://pro-palenke-vw-two.vercel.app/docs</t>
        </is>
      </c>
      <c r="H38" s="12" t="inlineStr">
        <is>
          <t>No iniciado</t>
        </is>
      </c>
      <c r="I38" s="13" t="n">
        <v>0</v>
      </c>
      <c r="J38" s="12" t="n"/>
    </row>
    <row r="39" ht="64" customHeight="1">
      <c r="A39" s="12" t="inlineStr">
        <is>
          <t>24</t>
        </is>
      </c>
      <c r="B39" s="12" t="inlineStr">
        <is>
          <t>Fase 2 – Plataforma integral</t>
        </is>
      </c>
      <c r="C39" s="12" t="inlineStr">
        <is>
          <t>Garantizar estabilidad técnica durante el periodo acordado.</t>
        </is>
      </c>
      <c r="D39" s="12" t="inlineStr">
        <is>
          <t>Registro de estabilidad, soporte e incidencias.</t>
        </is>
      </c>
      <c r="E39" s="12" t="inlineStr">
        <is>
          <t>La plataforma ha mantenido desarrollo y despliegue continuo durante el periodo revisado, con seguimiento mensual y sin evidencia en el repositorio de una caída estructural documentada del servicio. El aseguramiento definitivo de estabilidad sigue siendo una obligación vigente hasta el cierre del contrato.</t>
        </is>
      </c>
      <c r="F39" s="12" t="inlineStr">
        <is>
          <t>Historial de continuidad técnica y mantenimiento funcional del portal durante el periodo evaluado.</t>
        </is>
      </c>
      <c r="G39" s="12" t="inlineStr">
        <is>
          <t>https://pro-palenke-vw-two.vercel.app/docs/modulos-y-urls ; https://pro-palenke-vw-two.vercel.app/ ; https://pro-palenke-vw-two.vercel.app/docs/repositorio-codigo</t>
        </is>
      </c>
      <c r="H39" s="12" t="inlineStr">
        <is>
          <t>En proceso</t>
        </is>
      </c>
      <c r="I39" s="13" t="n">
        <v>60</v>
      </c>
      <c r="J39" s="12" t="n"/>
    </row>
    <row r="40" ht="64" customHeight="1">
      <c r="A40" s="12" t="inlineStr">
        <is>
          <t>25.1</t>
        </is>
      </c>
      <c r="B40" s="12" t="inlineStr">
        <is>
          <t>Entregable Fase 2</t>
        </is>
      </c>
      <c r="C40" s="12" t="inlineStr">
        <is>
          <t>Implementación de taxonomías y metadatos avanzados.</t>
        </is>
      </c>
      <c r="D40" s="12" t="inlineStr">
        <is>
          <t>Producto verificable y recibido.</t>
        </is>
      </c>
      <c r="E40" s="12" t="inlineStr">
        <is>
          <t>Entregable asociado a la obligación 16: taxonomías y metadatos ya avanzados, todavía no cerrados para todo el sistema.</t>
        </is>
      </c>
      <c r="F40" s="12" t="inlineStr">
        <is>
          <t>Implementación parcial y verificable de metadatos avanzados.</t>
        </is>
      </c>
      <c r="G40" s="12" t="inlineStr">
        <is>
          <t>https://pro-palenke-vw-two.vercel.app/docs/arquitectura-y-base-de-datos ; https://pro-palenke-vw-two.vercel.app/gobierno-propio ; https://pro-palenke-vw-two.vercel.app/biblioteca</t>
        </is>
      </c>
      <c r="H40" s="12" t="inlineStr">
        <is>
          <t>En proceso</t>
        </is>
      </c>
      <c r="I40" s="13" t="n">
        <v>55</v>
      </c>
      <c r="J40" s="12" t="n"/>
    </row>
    <row r="41" ht="64" customHeight="1">
      <c r="A41" s="12" t="inlineStr">
        <is>
          <t>25.2</t>
        </is>
      </c>
      <c r="B41" s="12" t="inlineStr">
        <is>
          <t>Entregable Fase 2</t>
        </is>
      </c>
      <c r="C41" s="12" t="inlineStr">
        <is>
          <t>Motor de búsqueda avanzada por múltiples filtros.</t>
        </is>
      </c>
      <c r="D41" s="12" t="inlineStr">
        <is>
          <t>Producto verificable y recibido.</t>
        </is>
      </c>
      <c r="E41" s="12" t="inlineStr">
        <is>
          <t>Entregable asociado a la obligación 17: filtros múltiples, búsqueda por módulos y búsqueda asistida, aún sin motor único transversal.</t>
        </is>
      </c>
      <c r="F41" s="12" t="inlineStr">
        <is>
          <t>Motor de búsqueda avanzada parcial, con varias piezas funcionales ya implementadas.</t>
        </is>
      </c>
      <c r="G41" s="12" t="inlineStr">
        <is>
          <t>https://pro-palenke-vw-two.vercel.app/docs/modulos-y-urls ; https://pro-palenke-vw-two.vercel.app/biblioteca</t>
        </is>
      </c>
      <c r="H41" s="12" t="inlineStr">
        <is>
          <t>En proceso</t>
        </is>
      </c>
      <c r="I41" s="13" t="n">
        <v>60</v>
      </c>
      <c r="J41" s="12" t="n"/>
    </row>
    <row r="42" ht="64" customHeight="1">
      <c r="A42" s="12" t="inlineStr">
        <is>
          <t>25.3</t>
        </is>
      </c>
      <c r="B42" s="12" t="inlineStr">
        <is>
          <t>Entregable Fase 2</t>
        </is>
      </c>
      <c r="C42" s="12" t="inlineStr">
        <is>
          <t>Módulo de Áreas de Conservación Comunitaria (ACCs).</t>
        </is>
      </c>
      <c r="D42" s="12" t="inlineStr">
        <is>
          <t>Producto verificable y recibido.</t>
        </is>
      </c>
      <c r="E42" s="12" t="inlineStr">
        <is>
          <t>Entregable asociado a la obligación 18: módulo ACC visible en administración y componente público relacionado.</t>
        </is>
      </c>
      <c r="F42" s="12" t="inlineStr">
        <is>
          <t>Módulo ACC funcional y demostrable.</t>
        </is>
      </c>
      <c r="G42" s="12" t="inlineStr">
        <is>
          <t>https://pro-palenke-vw-two.vercel.app/docs/modulos-y-urls ; https://pro-palenke-vw-two.vercel.app/gobierno-propio ; https://pro-palenke-vw-two.vercel.app/admin/accs</t>
        </is>
      </c>
      <c r="H42" s="12" t="inlineStr">
        <is>
          <t>En proceso</t>
        </is>
      </c>
      <c r="I42" s="13" t="n">
        <v>90</v>
      </c>
      <c r="J42" s="12" t="n"/>
    </row>
    <row r="43" ht="64" customHeight="1">
      <c r="A43" s="12" t="inlineStr">
        <is>
          <t>25.4</t>
        </is>
      </c>
      <c r="B43" s="12" t="inlineStr">
        <is>
          <t>Entregable Fase 2</t>
        </is>
      </c>
      <c r="C43" s="12" t="inlineStr">
        <is>
          <t>Módulo estructurado de incidencia política y litigio.</t>
        </is>
      </c>
      <c r="D43" s="12" t="inlineStr">
        <is>
          <t>Producto verificable y recibido.</t>
        </is>
      </c>
      <c r="E43" s="12" t="inlineStr">
        <is>
          <t>Entregable asociado a la obligación 19: módulo de incidencia visible, con litigio aún como línea en consolidación.</t>
        </is>
      </c>
      <c r="F43" s="12" t="inlineStr">
        <is>
          <t>Incidencia publicada y litigio estratégico aún en proceso.</t>
        </is>
      </c>
      <c r="G43" s="12" t="inlineStr">
        <is>
          <t>https://pro-palenke-vw-two.vercel.app/docs/modulos-y-urls ; https://pro-palenke-vw-two.vercel.app/incidencia</t>
        </is>
      </c>
      <c r="H43" s="12" t="inlineStr">
        <is>
          <t>En proceso</t>
        </is>
      </c>
      <c r="I43" s="13" t="n">
        <v>55</v>
      </c>
      <c r="J43" s="12" t="n"/>
    </row>
    <row r="44" ht="64" customHeight="1">
      <c r="A44" s="12" t="inlineStr">
        <is>
          <t>25.5</t>
        </is>
      </c>
      <c r="B44" s="12" t="inlineStr">
        <is>
          <t>Entregable Fase 2</t>
        </is>
      </c>
      <c r="C44" s="12" t="inlineStr">
        <is>
          <t>Integraciones técnicas ampliadas (APIs y mejoras de interoperabilidad).</t>
        </is>
      </c>
      <c r="D44" s="12" t="inlineStr">
        <is>
          <t>Producto verificable y recibido.</t>
        </is>
      </c>
      <c r="E44" s="12" t="inlineStr">
        <is>
          <t>Entregable asociado a la obligación 20: APIs internas del portal ya implementadas para soportar acceso, contacto, SCITA y documentos.</t>
        </is>
      </c>
      <c r="F44" s="12" t="inlineStr">
        <is>
          <t>Integraciones técnicas internas operativas dentro del propio sistema.</t>
        </is>
      </c>
      <c r="G44" s="12" t="inlineStr">
        <is>
          <t>https://pro-palenke-vw-two.vercel.app/docs/arquitectura-y-base-de-datos ; https://pro-palenke-vw-two.vercel.app/</t>
        </is>
      </c>
      <c r="H44" s="12" t="inlineStr">
        <is>
          <t>En proceso</t>
        </is>
      </c>
      <c r="I44" s="13" t="n">
        <v>60</v>
      </c>
      <c r="J44" s="12" t="n"/>
    </row>
    <row r="45" ht="64" customHeight="1">
      <c r="A45" s="12" t="inlineStr">
        <is>
          <t>25.6</t>
        </is>
      </c>
      <c r="B45" s="12" t="inlineStr">
        <is>
          <t>Entregable Fase 2</t>
        </is>
      </c>
      <c r="C45" s="12" t="inlineStr">
        <is>
          <t>Optimización de rendimiento y refuerzo de seguridad.</t>
        </is>
      </c>
      <c r="D45" s="12" t="inlineStr">
        <is>
          <t>Producto verificable y recibido.</t>
        </is>
      </c>
      <c r="E45" s="12" t="inlineStr">
        <is>
          <t>Entregable asociado a la obligación 21: no se evidencia aún una línea formal de optimización avanzada o refuerzo adicional de seguridad.</t>
        </is>
      </c>
      <c r="F45" s="12" t="inlineStr">
        <is>
          <t>Sin evidencia formal de optimización ampliada.</t>
        </is>
      </c>
      <c r="G45" s="12" t="inlineStr">
        <is>
          <t>https://pro-palenke-vw-two.vercel.app/docs</t>
        </is>
      </c>
      <c r="H45" s="12" t="inlineStr">
        <is>
          <t>No iniciado</t>
        </is>
      </c>
      <c r="I45" s="13" t="n">
        <v>0</v>
      </c>
      <c r="J45" s="12" t="n"/>
    </row>
    <row r="46" ht="64" customHeight="1">
      <c r="A46" s="12" t="inlineStr">
        <is>
          <t>25.7</t>
        </is>
      </c>
      <c r="B46" s="12" t="inlineStr">
        <is>
          <t>Entregable Fase 2</t>
        </is>
      </c>
      <c r="C46" s="12" t="inlineStr">
        <is>
          <t>Documentación técnica ampliada.</t>
        </is>
      </c>
      <c r="D46" s="12" t="inlineStr">
        <is>
          <t>Documento entregado.</t>
        </is>
      </c>
      <c r="E46" s="12" t="inlineStr">
        <is>
          <t>Entregable asociado a la obligación 22: base documental robusta disponible, pendiente consolidación ampliada final.</t>
        </is>
      </c>
      <c r="F46" s="12" t="inlineStr">
        <is>
          <t>Documentación técnica ampliada en construcción, con base ya existente.</t>
        </is>
      </c>
      <c r="G46" s="12" t="inlineStr">
        <is>
          <t>https://pro-palenke-vw-two.vercel.app/docs ; https://pro-palenke-vw-two.vercel.app/docs/arquitectura-y-base-de-datos ; https://pro-palenke-vw-two.vercel.app/docs/como-esta-construido</t>
        </is>
      </c>
      <c r="H46" s="12" t="inlineStr">
        <is>
          <t>En proceso</t>
        </is>
      </c>
      <c r="I46" s="13" t="n">
        <v>60</v>
      </c>
      <c r="J46" s="12" t="n"/>
    </row>
    <row r="47" ht="64" customHeight="1">
      <c r="A47" s="12" t="inlineStr">
        <is>
          <t>25.8</t>
        </is>
      </c>
      <c r="B47" s="12" t="inlineStr">
        <is>
          <t>Entregable Fase 2</t>
        </is>
      </c>
      <c r="C47" s="12" t="inlineStr">
        <is>
          <t>Capacitación complementaria.</t>
        </is>
      </c>
      <c r="D47" s="12" t="inlineStr">
        <is>
          <t>Evidencia de capacitación y asistencia.</t>
        </is>
      </c>
      <c r="E47" s="12" t="inlineStr">
        <is>
          <t>Entregable asociado a la obligación 23: no se encontró evidencia documental de la capacitación complementaria.</t>
        </is>
      </c>
      <c r="F47" s="12" t="inlineStr">
        <is>
          <t>Sin evidencia formal de capacitación complementaria.</t>
        </is>
      </c>
      <c r="G47" s="12" t="inlineStr">
        <is>
          <t>https://pro-palenke-vw-two.vercel.app/docs</t>
        </is>
      </c>
      <c r="H47" s="12" t="inlineStr">
        <is>
          <t>No iniciado</t>
        </is>
      </c>
      <c r="I47" s="13" t="n">
        <v>0</v>
      </c>
      <c r="J47" s="12" t="n"/>
    </row>
    <row r="49" ht="45.25" customHeight="1">
      <c r="A49" s="7" t="inlineStr">
        <is>
          <t>Fuente: obligaciones específicas del Contrato de Prestación de Servicios No. HILEROS 055-2026. Diligenciar una fila por obligación y mantener la misma numeración en la carpeta de evidencias.</t>
        </is>
      </c>
    </row>
  </sheetData>
  <mergeCells count="10">
    <mergeCell ref="A1:J1"/>
    <mergeCell ref="B5:D5"/>
    <mergeCell ref="F6:J6"/>
    <mergeCell ref="B4:D4"/>
    <mergeCell ref="L1:M1"/>
    <mergeCell ref="F5:J5"/>
    <mergeCell ref="A2:J2"/>
    <mergeCell ref="B6:D6"/>
    <mergeCell ref="F4:J4"/>
    <mergeCell ref="A49:J49"/>
  </mergeCells>
  <conditionalFormatting sqref="I9:I47">
    <cfRule type="dataBar" priority="1">
      <dataBar>
        <cfvo type="min"/>
        <cfvo type="max"/>
        <color rgb="FF548235"/>
      </dataBar>
    </cfRule>
    <cfRule type="dataBar" priority="2">
      <dataBar>
        <cfvo type="min"/>
        <cfvo type="max"/>
        <color rgb="FF548235"/>
      </dataBar>
    </cfRule>
  </conditionalFormatting>
  <dataValidations count="1">
    <dataValidation sqref="H9:H47" showDropDown="0" showInputMessage="0" showErrorMessage="0" allowBlank="0" type="list">
      <formula1>"No iniciado,En proceso,Cumplido,No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3203125" defaultRowHeight="14"/>
  <cols>
    <col width="8" customWidth="1" min="1" max="1"/>
    <col width="29" customWidth="1" min="2" max="2"/>
    <col width="55" customWidth="1" min="3" max="3"/>
    <col width="17" customWidth="1" min="4" max="4"/>
    <col width="32" customWidth="1" min="5" max="6"/>
  </cols>
  <sheetData>
    <row r="1" ht="40" customHeight="1">
      <c r="A1" s="9" t="inlineStr">
        <is>
          <t>CHECKLIST DE CIERRE – Angel Mateus Arrieta Morelo | HILEROS 055-2026</t>
        </is>
      </c>
    </row>
    <row r="3" ht="40" customHeight="1">
      <c r="A3" s="2" t="inlineStr">
        <is>
          <t>No.</t>
        </is>
      </c>
      <c r="B3" s="2" t="inlineStr">
        <is>
          <t>Requisito de cierre</t>
        </is>
      </c>
      <c r="C3" s="2" t="inlineStr">
        <is>
          <t>Detalle / aplicabilidad</t>
        </is>
      </c>
      <c r="D3" s="2" t="inlineStr">
        <is>
          <t>Estado</t>
        </is>
      </c>
      <c r="E3" s="2" t="inlineStr">
        <is>
          <t>Evidencia / enlace</t>
        </is>
      </c>
      <c r="F3" s="2" t="inlineStr">
        <is>
          <t>Observaciones</t>
        </is>
      </c>
    </row>
    <row r="4" ht="56" customHeight="1">
      <c r="A4" s="1" t="inlineStr">
        <is>
          <t>1</t>
        </is>
      </c>
      <c r="B4" s="1" t="inlineStr">
        <is>
          <t>Informe final</t>
        </is>
      </c>
      <c r="C4" s="1" t="inlineStr">
        <is>
          <t>DOCX y PDF firmados.</t>
        </is>
      </c>
      <c r="D4" s="1" t="inlineStr">
        <is>
          <t>No iniciado</t>
        </is>
      </c>
      <c r="E4" s="1" t="inlineStr"/>
      <c r="F4" s="1" t="inlineStr">
        <is>
          <t>Formato final pendiente de elaboración, firma y exportación a PDF.</t>
        </is>
      </c>
    </row>
    <row r="5" ht="56" customHeight="1">
      <c r="A5" s="1" t="inlineStr">
        <is>
          <t>2</t>
        </is>
      </c>
      <c r="B5" s="1" t="inlineStr">
        <is>
          <t>Presentación ejecutiva</t>
        </is>
      </c>
      <c r="C5" s="1" t="inlineStr">
        <is>
          <t>PPTX y PDF; estructura de 7 diapositivas.</t>
        </is>
      </c>
      <c r="D5" s="1" t="inlineStr">
        <is>
          <t>No iniciado</t>
        </is>
      </c>
      <c r="E5" s="1" t="inlineStr"/>
      <c r="F5" s="1" t="inlineStr">
        <is>
          <t>No se encontró una presentación ejecutiva final cerrada dentro del repositorio.</t>
        </is>
      </c>
    </row>
    <row r="6" ht="56" customHeight="1">
      <c r="A6" s="1" t="inlineStr">
        <is>
          <t>3</t>
        </is>
      </c>
      <c r="B6" s="1" t="inlineStr">
        <is>
          <t>Matriz contractual</t>
        </is>
      </c>
      <c r="C6" s="1" t="inlineStr">
        <is>
          <t>Obligaciones diligenciadas, evidencias enlazadas y validación de supervisión.</t>
        </is>
      </c>
      <c r="D6" s="1" t="inlineStr">
        <is>
          <t>En proceso</t>
        </is>
      </c>
      <c r="E6" s="1" t="inlineStr">
        <is>
          <t>docs/final-formats/02_Matriz_cumplimiento_ANGEL_MATEUS_final.xlsx</t>
        </is>
      </c>
      <c r="F6" s="1" t="inlineStr">
        <is>
          <t>Matriz revisada y ajustada con corte al 17 de julio de 2026; queda pendiente validación final de supervisión.</t>
        </is>
      </c>
    </row>
    <row r="7" ht="56" customHeight="1">
      <c r="A7" s="1" t="inlineStr">
        <is>
          <t>4</t>
        </is>
      </c>
      <c r="B7" s="1" t="inlineStr">
        <is>
          <t>Documentación de evidencias (/docs)</t>
        </is>
      </c>
      <c r="C7" s="1" t="inlineStr">
        <is>
          <t>URLs de producto y páginas Fumadocs /docs por obligación.</t>
        </is>
      </c>
      <c r="D7" s="1" t="inlineStr">
        <is>
          <t>Cumplido</t>
        </is>
      </c>
      <c r="E7" s="1" t="inlineStr">
        <is>
          <t>https://pro-palenke-vw-two.vercel.app/docs ; https://pro-palenke-vw-two.vercel.app/docs/informe-y-matriz ; https://pro-palenke-vw-two.vercel.app/docs/modulos-y-urls ; https://pro-palenke-vw-two.vercel.app/docs/como-esta-construido</t>
        </is>
      </c>
      <c r="F7" s="1" t="inlineStr">
        <is>
          <t>Toda la evidencia verificable vive en Fumadocs (/docs) y URLs del producto. La página /docs/como-esta-construido cubre rutas, lógica y APIs por módulo. Sin carpeta evidences ni capturas obligatorias.</t>
        </is>
      </c>
    </row>
    <row r="8" ht="56" customHeight="1">
      <c r="A8" s="1" t="inlineStr">
        <is>
          <t>5</t>
        </is>
      </c>
      <c r="B8" s="1" t="inlineStr">
        <is>
          <t>Cuenta de cobro</t>
        </is>
      </c>
      <c r="C8" s="1" t="inlineStr">
        <is>
          <t>Con aprobación de la supervisión.</t>
        </is>
      </c>
      <c r="D8" s="1" t="inlineStr">
        <is>
          <t>No iniciado</t>
        </is>
      </c>
      <c r="E8" s="1" t="inlineStr"/>
      <c r="F8" s="1" t="inlineStr">
        <is>
          <t>Documento administrativo no localizado en el repositorio del proyecto.</t>
        </is>
      </c>
    </row>
    <row r="9" ht="56" customHeight="1">
      <c r="A9" s="1" t="inlineStr">
        <is>
          <t>6</t>
        </is>
      </c>
      <c r="B9" s="1" t="inlineStr">
        <is>
          <t>Seguridad social</t>
        </is>
      </c>
      <c r="C9" s="1" t="inlineStr">
        <is>
          <t>Planilla correspondiente al periodo final.</t>
        </is>
      </c>
      <c r="D9" s="1" t="inlineStr">
        <is>
          <t>No iniciado</t>
        </is>
      </c>
      <c r="E9" s="1" t="inlineStr"/>
      <c r="F9" s="1" t="inlineStr">
        <is>
          <t>Planilla del periodo final no localizada en el repositorio del proyecto.</t>
        </is>
      </c>
    </row>
    <row r="10" ht="56" customHeight="1">
      <c r="A10" s="1" t="inlineStr">
        <is>
          <t>7</t>
        </is>
      </c>
      <c r="B10" s="1" t="inlineStr">
        <is>
          <t>RUT</t>
        </is>
      </c>
      <c r="C10" s="1" t="inlineStr">
        <is>
          <t>Copia vigente, cuando sea requerida.</t>
        </is>
      </c>
      <c r="D10" s="1" t="inlineStr">
        <is>
          <t>No iniciado</t>
        </is>
      </c>
      <c r="E10" s="1" t="inlineStr"/>
      <c r="F10" s="1" t="inlineStr">
        <is>
          <t>El RUT no se encontró dentro de la carpeta del proyecto.</t>
        </is>
      </c>
    </row>
    <row r="11" ht="56" customHeight="1">
      <c r="A11" s="1" t="inlineStr">
        <is>
          <t>8</t>
        </is>
      </c>
      <c r="B11" s="1" t="inlineStr">
        <is>
          <t>Legalización de gastos</t>
        </is>
      </c>
      <c r="C11" s="1" t="inlineStr">
        <is>
          <t>Cuando aplique.</t>
        </is>
      </c>
      <c r="D11" s="1" t="inlineStr">
        <is>
          <t>No iniciado</t>
        </is>
      </c>
      <c r="E11" s="1" t="inlineStr"/>
      <c r="F11" s="1" t="inlineStr">
        <is>
          <t>No hay evidencia suficiente para concluir si aplica o si ya fue legalizada por otro canal administrativo.</t>
        </is>
      </c>
    </row>
    <row r="12" ht="56" customHeight="1">
      <c r="A12" s="1" t="inlineStr">
        <is>
          <t>9</t>
        </is>
      </c>
      <c r="B12" s="1" t="inlineStr">
        <is>
          <t>Paz y Salvo</t>
        </is>
      </c>
      <c r="C12" s="1" t="inlineStr">
        <is>
          <t>Formato institucional diligenciado.</t>
        </is>
      </c>
      <c r="D12" s="1" t="inlineStr">
        <is>
          <t>No iniciado</t>
        </is>
      </c>
      <c r="E12" s="1" t="inlineStr"/>
      <c r="F12" s="1" t="inlineStr">
        <is>
          <t>Formato institucional pendiente de gestión en el cierre contractual.</t>
        </is>
      </c>
    </row>
    <row r="13" ht="56" customHeight="1">
      <c r="A13" s="1" t="inlineStr">
        <is>
          <t>10</t>
        </is>
      </c>
      <c r="B13" s="1" t="inlineStr">
        <is>
          <t>Transferencia técnica/documental</t>
        </is>
      </c>
      <c r="C13" s="1" t="inlineStr">
        <is>
          <t>Repositorio Git, código fuente, accesos administrativos, documentación técnica básica y ampliada, evidencias de capacitación y acta de transferencia.</t>
        </is>
      </c>
      <c r="D13" s="1" t="inlineStr">
        <is>
          <t>En proceso</t>
        </is>
      </c>
      <c r="E13" s="1" t="inlineStr">
        <is>
          <t>https://pro-palenke-vw-two.vercel.app/docs/repositorio-codigo ; https://pro-palenke-vw-two.vercel.app/docs/accesos ; https://pro-palenke-vw-two.vercel.app/docs/arquitectura-y-base-de-datos ; https://pro-palenke-vw-two.vercel.app/docs/como-esta-construido ; https://github.com/anuidev8/palenke</t>
        </is>
      </c>
      <c r="F13" s="1" t="inlineStr">
        <is>
          <t>Repo privado + accesos plataforma (admin: angelarrieta34@gmail.com / welcome123; interno: fconu@renacientes.org / @welcome123). Pendiente acta formal.</t>
        </is>
      </c>
    </row>
    <row r="14" ht="56" customHeight="1">
      <c r="A14" s="1" t="inlineStr">
        <is>
          <t>11</t>
        </is>
      </c>
      <c r="B14" s="1" t="inlineStr">
        <is>
          <t>Observaciones de supervisión</t>
        </is>
      </c>
      <c r="C14" s="1" t="inlineStr">
        <is>
          <t>Atendidas y cerradas.</t>
        </is>
      </c>
      <c r="D14" s="1" t="inlineStr">
        <is>
          <t>No iniciado</t>
        </is>
      </c>
      <c r="E14" s="1" t="inlineStr"/>
      <c r="F14" s="1" t="inlineStr">
        <is>
          <t>No se encontraron cierres formales de observaciones de supervisión dentro del repositorio.</t>
        </is>
      </c>
    </row>
  </sheetData>
  <mergeCells count="1">
    <mergeCell ref="A1:F1"/>
  </mergeCells>
  <dataValidations count="1">
    <dataValidation sqref="D4:D14" showDropDown="0" showInputMessage="0" showErrorMessage="0" allowBlank="0" type="list">
      <formula1>"No iniciado,En proceso,Cumplido,No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2026-07-02T03:57:43Z</dcterms:created>
  <dcterms:modified xmlns:dcterms="http://purl.org/dc/terms/" xmlns:xsi="http://www.w3.org/2001/XMLSchema-instance" xsi:type="dcterms:W3CDTF">2026-07-22T23:09:20Z</dcterms:modified>
  <cp:lastModifiedBy>karen zapata</cp:lastModifiedBy>
</cp:coreProperties>
</file>